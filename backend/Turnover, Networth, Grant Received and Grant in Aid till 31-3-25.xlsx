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R31" i="1" l="1"/>
  <c r="Q31" i="1"/>
  <c r="P31" i="1"/>
  <c r="O31" i="1"/>
  <c r="N31" i="1"/>
  <c r="M31" i="1"/>
  <c r="K31" i="1"/>
  <c r="L31" i="1"/>
  <c r="J31" i="1"/>
  <c r="I31" i="1"/>
  <c r="D31" i="1" l="1"/>
  <c r="G29" i="1"/>
  <c r="G30" i="1"/>
  <c r="B31" i="1"/>
  <c r="C30" i="1"/>
  <c r="C29" i="1"/>
  <c r="G22" i="1" l="1"/>
  <c r="E22" i="1"/>
  <c r="C22" i="1"/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G24" i="1"/>
  <c r="G25" i="1"/>
  <c r="G26" i="1"/>
  <c r="G27" i="1"/>
  <c r="G28" i="1"/>
  <c r="E24" i="1"/>
  <c r="E25" i="1"/>
  <c r="C24" i="1"/>
  <c r="C25" i="1"/>
  <c r="C26" i="1"/>
  <c r="C27" i="1"/>
  <c r="C28" i="1"/>
  <c r="G23" i="1"/>
  <c r="E23" i="1"/>
  <c r="C23" i="1"/>
  <c r="C31" i="1" l="1"/>
  <c r="E31" i="1"/>
</calcChain>
</file>

<file path=xl/sharedStrings.xml><?xml version="1.0" encoding="utf-8"?>
<sst xmlns="http://schemas.openxmlformats.org/spreadsheetml/2006/main" count="48" uniqueCount="44">
  <si>
    <t>2018-19</t>
  </si>
  <si>
    <t>2019-20</t>
  </si>
  <si>
    <t>2020-21</t>
  </si>
  <si>
    <t>2021-22</t>
  </si>
  <si>
    <t>2022-23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</si>
  <si>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</si>
  <si>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</si>
  <si>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</si>
  <si>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</si>
  <si>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</si>
  <si>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</si>
  <si>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</si>
  <si>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</si>
  <si>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</si>
  <si>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</si>
  <si>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</si>
  <si>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</si>
  <si>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</si>
  <si>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</si>
  <si>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</si>
  <si>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</si>
  <si>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</si>
  <si>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</si>
  <si>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</si>
  <si>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</si>
  <si>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Year</t>
  </si>
  <si>
    <t>Income</t>
  </si>
  <si>
    <t>Expenditure</t>
  </si>
  <si>
    <t>Surplus</t>
  </si>
  <si>
    <t>Turnover</t>
  </si>
  <si>
    <t>Networth</t>
  </si>
  <si>
    <t>Total Assets</t>
  </si>
  <si>
    <t xml:space="preserve">Total Liabilities </t>
  </si>
  <si>
    <t>Grant Received</t>
  </si>
  <si>
    <t>CSR</t>
  </si>
  <si>
    <t>FCRA</t>
  </si>
  <si>
    <t>Total</t>
  </si>
  <si>
    <t>Grant in Aid</t>
  </si>
  <si>
    <t>Funding Agency</t>
  </si>
  <si>
    <t xml:space="preserve">Government </t>
  </si>
  <si>
    <t>2023-24</t>
  </si>
  <si>
    <t>2024-25</t>
  </si>
  <si>
    <t>Shrushti Sava Samiti</t>
  </si>
  <si>
    <t>Detail of Annual Turnover, Networth, Grant Received and Grant in Aid till 31-03-2025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</si>
</sst>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3" fontId="0" fillId="0" borderId="1" xfId="1" applyFont="1" applyBorder="1"/>
    <xf numFmtId="43" fontId="4" fillId="0" borderId="1" xfId="1" applyFont="1" applyBorder="1"/>
    <xf numFmtId="43" fontId="0" fillId="0" borderId="1" xfId="1" applyFont="1" applyFill="1" applyBorder="1"/>
    <xf numFmtId="0" fontId="3" fillId="0" borderId="0" xfId="0" applyFont="1"/>
    <xf numFmtId="4" fontId="5" fillId="0" borderId="0" xfId="0" applyNumberFormat="1" applyFont="1" applyAlignment="1">
      <alignment horizontal="right" vertical="center" wrapText="1"/>
    </xf>
    <xf numFmtId="43" fontId="3" fillId="0" borderId="3" xfId="0" applyNumberFormat="1" applyFont="1" applyBorder="1"/>
    <xf numFmtId="43" fontId="0" fillId="0" borderId="5" xfId="1" applyFont="1" applyBorder="1"/>
    <xf numFmtId="43" fontId="3" fillId="0" borderId="7" xfId="0" applyNumberFormat="1" applyFont="1" applyBorder="1"/>
    <xf numFmtId="43" fontId="3" fillId="0" borderId="8" xfId="0" applyNumberFormat="1" applyFont="1" applyBorder="1"/>
    <xf numFmtId="0" fontId="3" fillId="0" borderId="9" xfId="0" applyFont="1" applyBorder="1"/>
    <xf numFmtId="4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3" fontId="3" fillId="0" borderId="4" xfId="1" applyFont="1" applyBorder="1"/>
    <xf numFmtId="43" fontId="3" fillId="0" borderId="4" xfId="1" applyFont="1" applyFill="1" applyBorder="1"/>
    <xf numFmtId="43" fontId="3" fillId="0" borderId="6" xfId="0" applyNumberFormat="1" applyFont="1" applyBorder="1"/>
    <xf numFmtId="43" fontId="0" fillId="0" borderId="4" xfId="1" applyFont="1" applyBorder="1"/>
    <xf numFmtId="43" fontId="3" fillId="0" borderId="5" xfId="1" applyFont="1" applyBorder="1"/>
    <xf numFmtId="0" fontId="3" fillId="0" borderId="3" xfId="0" applyFont="1" applyBorder="1" applyAlignment="1">
      <alignment horizontal="center"/>
    </xf>
    <xf numFmtId="43" fontId="0" fillId="0" borderId="10" xfId="1" applyFont="1" applyBorder="1"/>
    <xf numFmtId="43" fontId="3" fillId="2" borderId="8" xfId="0" applyNumberFormat="1" applyFont="1" applyFill="1" applyBorder="1"/>
    <xf numFmtId="43" fontId="3" fillId="2" borderId="6" xfId="0" applyNumberFormat="1" applyFont="1" applyFill="1" applyBorder="1"/>
    <xf numFmtId="43" fontId="3" fillId="2" borderId="7" xfId="0" applyNumberFormat="1" applyFont="1" applyFill="1" applyBorder="1"/>
    <xf numFmtId="43" fontId="3" fillId="0" borderId="1" xfId="1" applyFont="1" applyBorder="1"/>
    <xf numFmtId="43" fontId="3" fillId="0" borderId="1" xfId="1" applyFont="1" applyFill="1" applyBorder="1"/>
    <xf numFmtId="43" fontId="4" fillId="0" borderId="1" xfId="1" applyFont="1" applyFill="1" applyBorder="1"/>
    <xf numFmtId="0" fontId="3" fillId="0" borderId="11" xfId="0" applyFont="1" applyBorder="1"/>
    <xf numFmtId="43" fontId="0" fillId="0" borderId="12" xfId="1" applyFont="1" applyBorder="1"/>
    <xf numFmtId="43" fontId="0" fillId="0" borderId="13" xfId="1" applyFont="1" applyBorder="1"/>
    <xf numFmtId="43" fontId="0" fillId="0" borderId="14" xfId="1" applyFont="1" applyBorder="1"/>
    <xf numFmtId="43" fontId="3" fillId="0" borderId="15" xfId="1" applyFont="1" applyBorder="1"/>
    <xf numFmtId="43" fontId="3" fillId="0" borderId="13" xfId="1" applyFont="1" applyBorder="1"/>
    <xf numFmtId="43" fontId="0" fillId="0" borderId="15" xfId="1" applyFont="1" applyBorder="1"/>
    <xf numFmtId="0" fontId="3" fillId="0" borderId="4" xfId="0" applyFont="1" applyBorder="1"/>
    <xf numFmtId="43" fontId="0" fillId="0" borderId="5" xfId="1" applyFont="1" applyFill="1" applyBorder="1"/>
    <xf numFmtId="0" fontId="3" fillId="0" borderId="16" xfId="0" applyFont="1" applyBorder="1"/>
    <xf numFmtId="43" fontId="0" fillId="0" borderId="17" xfId="1" applyFont="1" applyBorder="1"/>
    <xf numFmtId="43" fontId="3" fillId="0" borderId="17" xfId="1" applyFont="1" applyBorder="1"/>
    <xf numFmtId="43" fontId="3" fillId="0" borderId="17" xfId="1" applyFont="1" applyFill="1" applyBorder="1"/>
    <xf numFmtId="43" fontId="0" fillId="0" borderId="17" xfId="1" applyFont="1" applyFill="1" applyBorder="1"/>
    <xf numFmtId="43" fontId="4" fillId="0" borderId="17" xfId="1" applyFont="1" applyFill="1" applyBorder="1"/>
    <xf numFmtId="43" fontId="0" fillId="0" borderId="18" xfId="1" applyFont="1" applyFill="1" applyBorder="1"/>
    <xf numFmtId="43" fontId="6" fillId="0" borderId="5" xfId="1" applyFont="1" applyBorder="1"/>
    <xf numFmtId="43" fontId="6" fillId="0" borderId="1" xfId="1" applyFont="1" applyBorder="1"/>
    <xf numFmtId="43" fontId="6" fillId="0" borderId="17" xfId="1" applyFont="1" applyBorder="1"/>
    <xf numFmtId="43" fontId="0" fillId="0" borderId="0" xfId="1" applyFont="1" applyFill="1" applyBorder="1"/>
    <xf numFmtId="43" fontId="0" fillId="0" borderId="0" xfId="0" applyNumberFormat="1"/>
    <xf numFmtId="43" fontId="6" fillId="0" borderId="3" xfId="0" applyNumberFormat="1" applyFont="1" applyBorder="1"/>
    <xf numFmtId="0" fontId="8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8"/>
  <sheetViews>
    <sheetView tabSelected="1" zoomScaleNormal="100" workbookViewId="0">
      <pane xSplit="1" ySplit="3" topLeftCell="C4" activePane="bottomRight" state="frozen"/>
      <selection pane="topRight" activeCell="B1" sqref="B1"/>
      <selection pane="bottomLeft" activeCell="A2" sqref="A2"/>
      <selection pane="bottomRight" activeCell="P34" sqref="P34"/>
    </sheetView>
  </sheetViews>
  <sheetFormatPr defaultRowHeight="15" x14ac:dyDescent="0.25"/>
  <cols>
    <col min="1" max="1" width="7.7109375" bestFit="1" customWidth="1"/>
    <col min="2" max="2" width="16.28515625" customWidth="1"/>
    <col min="3" max="3" width="15.28515625" bestFit="1" customWidth="1"/>
    <col min="4" max="4" width="14.28515625" bestFit="1" customWidth="1"/>
    <col min="5" max="5" width="15.85546875" style="6" bestFit="1" customWidth="1"/>
    <col min="6" max="6" width="14.28515625" bestFit="1" customWidth="1"/>
    <col min="7" max="7" width="15" customWidth="1"/>
    <col min="8" max="8" width="14.28515625" style="6" bestFit="1" customWidth="1"/>
    <col min="9" max="9" width="15.28515625" bestFit="1" customWidth="1"/>
    <col min="10" max="10" width="14.85546875" bestFit="1" customWidth="1"/>
    <col min="11" max="11" width="15.28515625" bestFit="1" customWidth="1"/>
    <col min="12" max="12" width="15.85546875" bestFit="1" customWidth="1"/>
    <col min="13" max="13" width="14.28515625" bestFit="1" customWidth="1"/>
    <col min="14" max="17" width="15.28515625" bestFit="1" customWidth="1"/>
    <col min="18" max="18" width="14.28515625" bestFit="1" customWidth="1"/>
  </cols>
  <sheetData>
    <row r="1" spans="1:18" ht="26.25" x14ac:dyDescent="0.4">
      <c r="A1" s="53" t="s">
        <v>42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19.5" thickBot="1" x14ac:dyDescent="0.35">
      <c r="A2" s="54" t="s">
        <v>43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1:18" ht="15.75" thickBot="1" x14ac:dyDescent="0.3">
      <c r="A3" s="14" t="s">
        <v>25</v>
      </c>
      <c r="B3" s="23" t="s">
        <v>26</v>
      </c>
      <c r="C3" s="17" t="s">
        <v>27</v>
      </c>
      <c r="D3" s="15" t="s">
        <v>28</v>
      </c>
      <c r="E3" s="16" t="s">
        <v>29</v>
      </c>
      <c r="F3" s="17" t="s">
        <v>31</v>
      </c>
      <c r="G3" s="15" t="s">
        <v>32</v>
      </c>
      <c r="H3" s="16" t="s">
        <v>30</v>
      </c>
      <c r="I3" s="17" t="s">
        <v>33</v>
      </c>
      <c r="J3" s="15" t="s">
        <v>39</v>
      </c>
      <c r="K3" s="15" t="s">
        <v>34</v>
      </c>
      <c r="L3" s="15" t="s">
        <v>38</v>
      </c>
      <c r="M3" s="16" t="s">
        <v>35</v>
      </c>
      <c r="N3" s="17" t="s">
        <v>37</v>
      </c>
      <c r="O3" s="15" t="s">
        <v>39</v>
      </c>
      <c r="P3" s="15" t="s">
        <v>34</v>
      </c>
      <c r="Q3" s="15" t="s">
        <v>38</v>
      </c>
      <c r="R3" s="16" t="s">
        <v>35</v>
      </c>
    </row>
    <row r="4" spans="1:18" x14ac:dyDescent="0.25">
      <c r="A4" s="31" t="s">
        <v>5</v>
      </c>
      <c r="B4" s="32">
        <v>0</v>
      </c>
      <c r="C4" s="33">
        <f t="shared" ref="C4:C18" si="0">B4-D4</f>
        <v>2560</v>
      </c>
      <c r="D4" s="34">
        <v>-2560</v>
      </c>
      <c r="E4" s="35">
        <f t="shared" ref="E4:E25" si="1">B4-D4</f>
        <v>2560</v>
      </c>
      <c r="F4" s="33">
        <v>52</v>
      </c>
      <c r="G4" s="34">
        <f t="shared" ref="G4:G18" si="2">F4-H4</f>
        <v>0</v>
      </c>
      <c r="H4" s="35">
        <v>52</v>
      </c>
      <c r="I4" s="36"/>
      <c r="J4" s="34"/>
      <c r="K4" s="34"/>
      <c r="L4" s="34"/>
      <c r="M4" s="37"/>
      <c r="N4" s="36"/>
      <c r="O4" s="34"/>
      <c r="P4" s="34"/>
      <c r="Q4" s="34"/>
      <c r="R4" s="37"/>
    </row>
    <row r="5" spans="1:18" x14ac:dyDescent="0.25">
      <c r="A5" s="12" t="s">
        <v>6</v>
      </c>
      <c r="B5" s="24">
        <v>751</v>
      </c>
      <c r="C5" s="21">
        <f t="shared" si="0"/>
        <v>909</v>
      </c>
      <c r="D5" s="3">
        <v>-158</v>
      </c>
      <c r="E5" s="22">
        <f t="shared" si="1"/>
        <v>909</v>
      </c>
      <c r="F5" s="21">
        <v>506</v>
      </c>
      <c r="G5" s="3">
        <f t="shared" si="2"/>
        <v>0</v>
      </c>
      <c r="H5" s="22">
        <v>506</v>
      </c>
      <c r="I5" s="18"/>
      <c r="J5" s="3"/>
      <c r="K5" s="3"/>
      <c r="L5" s="3"/>
      <c r="M5" s="9"/>
      <c r="N5" s="18"/>
      <c r="O5" s="3"/>
      <c r="P5" s="3"/>
      <c r="Q5" s="3"/>
      <c r="R5" s="9"/>
    </row>
    <row r="6" spans="1:18" x14ac:dyDescent="0.25">
      <c r="A6" s="12" t="s">
        <v>7</v>
      </c>
      <c r="B6" s="24">
        <v>1158</v>
      </c>
      <c r="C6" s="21">
        <f t="shared" si="0"/>
        <v>1949</v>
      </c>
      <c r="D6" s="3">
        <v>-791</v>
      </c>
      <c r="E6" s="22">
        <f t="shared" si="1"/>
        <v>1949</v>
      </c>
      <c r="F6" s="21">
        <v>577</v>
      </c>
      <c r="G6" s="3">
        <f t="shared" si="2"/>
        <v>250</v>
      </c>
      <c r="H6" s="22">
        <v>327</v>
      </c>
      <c r="I6" s="18"/>
      <c r="J6" s="3"/>
      <c r="K6" s="3"/>
      <c r="L6" s="3"/>
      <c r="M6" s="9"/>
      <c r="N6" s="18"/>
      <c r="O6" s="3"/>
      <c r="P6" s="3"/>
      <c r="Q6" s="3"/>
      <c r="R6" s="9"/>
    </row>
    <row r="7" spans="1:18" x14ac:dyDescent="0.25">
      <c r="A7" s="12" t="s">
        <v>8</v>
      </c>
      <c r="B7" s="24">
        <v>432776</v>
      </c>
      <c r="C7" s="21">
        <f t="shared" si="0"/>
        <v>430121</v>
      </c>
      <c r="D7" s="3">
        <v>2655</v>
      </c>
      <c r="E7" s="22">
        <f t="shared" si="1"/>
        <v>430121</v>
      </c>
      <c r="F7" s="21">
        <v>24474</v>
      </c>
      <c r="G7" s="3">
        <f t="shared" si="2"/>
        <v>20880</v>
      </c>
      <c r="H7" s="22">
        <v>3594</v>
      </c>
      <c r="I7" s="18"/>
      <c r="J7" s="3"/>
      <c r="K7" s="3"/>
      <c r="L7" s="3"/>
      <c r="M7" s="9"/>
      <c r="N7" s="18"/>
      <c r="O7" s="3"/>
      <c r="P7" s="3"/>
      <c r="Q7" s="3"/>
      <c r="R7" s="9"/>
    </row>
    <row r="8" spans="1:18" x14ac:dyDescent="0.25">
      <c r="A8" s="12" t="s">
        <v>9</v>
      </c>
      <c r="B8" s="24">
        <v>607682</v>
      </c>
      <c r="C8" s="21">
        <f t="shared" si="0"/>
        <v>604752</v>
      </c>
      <c r="D8" s="3">
        <v>2930</v>
      </c>
      <c r="E8" s="22">
        <f t="shared" si="1"/>
        <v>604752</v>
      </c>
      <c r="F8" s="21">
        <v>35881</v>
      </c>
      <c r="G8" s="3">
        <f t="shared" si="2"/>
        <v>29000</v>
      </c>
      <c r="H8" s="22">
        <v>6881</v>
      </c>
      <c r="I8" s="18"/>
      <c r="J8" s="3"/>
      <c r="K8" s="3"/>
      <c r="L8" s="3"/>
      <c r="M8" s="9"/>
      <c r="N8" s="18"/>
      <c r="O8" s="3"/>
      <c r="P8" s="3"/>
      <c r="Q8" s="3"/>
      <c r="R8" s="9"/>
    </row>
    <row r="9" spans="1:18" x14ac:dyDescent="0.25">
      <c r="A9" s="12" t="s">
        <v>10</v>
      </c>
      <c r="B9" s="24">
        <v>480433</v>
      </c>
      <c r="C9" s="21">
        <f t="shared" si="0"/>
        <v>478258.45</v>
      </c>
      <c r="D9" s="3">
        <v>2174.5500000000002</v>
      </c>
      <c r="E9" s="22">
        <f t="shared" si="1"/>
        <v>478258.45</v>
      </c>
      <c r="F9" s="21">
        <v>33167.550000000003</v>
      </c>
      <c r="G9" s="3">
        <f t="shared" si="2"/>
        <v>23500.000000000004</v>
      </c>
      <c r="H9" s="22">
        <v>9667.5499999999993</v>
      </c>
      <c r="I9" s="18"/>
      <c r="J9" s="3"/>
      <c r="K9" s="3"/>
      <c r="L9" s="3"/>
      <c r="M9" s="9"/>
      <c r="N9" s="18"/>
      <c r="O9" s="3"/>
      <c r="P9" s="3"/>
      <c r="Q9" s="3"/>
      <c r="R9" s="9"/>
    </row>
    <row r="10" spans="1:18" x14ac:dyDescent="0.25">
      <c r="A10" s="12" t="s">
        <v>11</v>
      </c>
      <c r="B10" s="24">
        <v>5580338</v>
      </c>
      <c r="C10" s="21">
        <f t="shared" si="0"/>
        <v>5576037.8300000001</v>
      </c>
      <c r="D10" s="3">
        <v>4300.17</v>
      </c>
      <c r="E10" s="22">
        <f t="shared" si="1"/>
        <v>5576037.8300000001</v>
      </c>
      <c r="F10" s="21">
        <v>1880180.72</v>
      </c>
      <c r="G10" s="3">
        <f t="shared" si="2"/>
        <v>1865601</v>
      </c>
      <c r="H10" s="22">
        <v>14579.72</v>
      </c>
      <c r="I10" s="18"/>
      <c r="J10" s="3"/>
      <c r="K10" s="3"/>
      <c r="L10" s="3"/>
      <c r="M10" s="9"/>
      <c r="N10" s="18"/>
      <c r="O10" s="3"/>
      <c r="P10" s="3"/>
      <c r="Q10" s="3"/>
      <c r="R10" s="9"/>
    </row>
    <row r="11" spans="1:18" x14ac:dyDescent="0.25">
      <c r="A11" s="12" t="s">
        <v>12</v>
      </c>
      <c r="B11" s="24">
        <v>4331354</v>
      </c>
      <c r="C11" s="21">
        <f t="shared" si="0"/>
        <v>4329497.57</v>
      </c>
      <c r="D11" s="3">
        <v>1856.43</v>
      </c>
      <c r="E11" s="22">
        <f t="shared" si="1"/>
        <v>4329497.57</v>
      </c>
      <c r="F11" s="21">
        <v>1129102.1499999999</v>
      </c>
      <c r="G11" s="3">
        <f t="shared" si="2"/>
        <v>1111901</v>
      </c>
      <c r="H11" s="22">
        <v>17201.150000000001</v>
      </c>
      <c r="I11" s="18"/>
      <c r="J11" s="3"/>
      <c r="K11" s="3"/>
      <c r="L11" s="3"/>
      <c r="M11" s="9"/>
      <c r="N11" s="18"/>
      <c r="O11" s="3"/>
      <c r="P11" s="3"/>
      <c r="Q11" s="3"/>
      <c r="R11" s="9"/>
    </row>
    <row r="12" spans="1:18" x14ac:dyDescent="0.25">
      <c r="A12" s="12" t="s">
        <v>13</v>
      </c>
      <c r="B12" s="24">
        <v>3995177</v>
      </c>
      <c r="C12" s="21">
        <f t="shared" si="0"/>
        <v>3975852.27</v>
      </c>
      <c r="D12" s="3">
        <v>19324.73</v>
      </c>
      <c r="E12" s="22">
        <f t="shared" si="1"/>
        <v>3975852.27</v>
      </c>
      <c r="F12" s="21">
        <v>1044502.89</v>
      </c>
      <c r="G12" s="3">
        <f t="shared" si="2"/>
        <v>1007365.01</v>
      </c>
      <c r="H12" s="22">
        <v>37137.879999999997</v>
      </c>
      <c r="I12" s="18"/>
      <c r="J12" s="3"/>
      <c r="K12" s="3"/>
      <c r="L12" s="3"/>
      <c r="M12" s="9"/>
      <c r="N12" s="18"/>
      <c r="O12" s="3"/>
      <c r="P12" s="3"/>
      <c r="Q12" s="3"/>
      <c r="R12" s="9"/>
    </row>
    <row r="13" spans="1:18" x14ac:dyDescent="0.25">
      <c r="A13" s="12" t="s">
        <v>14</v>
      </c>
      <c r="B13" s="24">
        <v>4193455</v>
      </c>
      <c r="C13" s="21">
        <f t="shared" si="0"/>
        <v>4194364.1100000003</v>
      </c>
      <c r="D13" s="3">
        <v>-909.11</v>
      </c>
      <c r="E13" s="22">
        <f t="shared" si="1"/>
        <v>4194364.1100000003</v>
      </c>
      <c r="F13" s="21">
        <v>1918259.78</v>
      </c>
      <c r="G13" s="3">
        <f t="shared" si="2"/>
        <v>1881317</v>
      </c>
      <c r="H13" s="22">
        <v>36942.78</v>
      </c>
      <c r="I13" s="18"/>
      <c r="J13" s="3"/>
      <c r="K13" s="3"/>
      <c r="L13" s="3"/>
      <c r="M13" s="9"/>
      <c r="N13" s="18"/>
      <c r="O13" s="3"/>
      <c r="P13" s="3"/>
      <c r="Q13" s="3"/>
      <c r="R13" s="9"/>
    </row>
    <row r="14" spans="1:18" x14ac:dyDescent="0.25">
      <c r="A14" s="12" t="s">
        <v>15</v>
      </c>
      <c r="B14" s="24">
        <v>2771231</v>
      </c>
      <c r="C14" s="21">
        <f t="shared" si="0"/>
        <v>2759944.28</v>
      </c>
      <c r="D14" s="3">
        <v>11286.72</v>
      </c>
      <c r="E14" s="22">
        <f t="shared" si="1"/>
        <v>2759944.28</v>
      </c>
      <c r="F14" s="21">
        <v>1322191.5</v>
      </c>
      <c r="G14" s="3">
        <f t="shared" si="2"/>
        <v>1273350</v>
      </c>
      <c r="H14" s="22">
        <v>48841.5</v>
      </c>
      <c r="I14" s="18"/>
      <c r="J14" s="3"/>
      <c r="K14" s="3"/>
      <c r="L14" s="3"/>
      <c r="M14" s="9"/>
      <c r="N14" s="18"/>
      <c r="O14" s="3"/>
      <c r="P14" s="3"/>
      <c r="Q14" s="3"/>
      <c r="R14" s="9"/>
    </row>
    <row r="15" spans="1:18" x14ac:dyDescent="0.25">
      <c r="A15" s="12" t="s">
        <v>16</v>
      </c>
      <c r="B15" s="24">
        <v>1956986</v>
      </c>
      <c r="C15" s="21">
        <f t="shared" si="0"/>
        <v>2313652.85</v>
      </c>
      <c r="D15" s="3">
        <v>-356666.85</v>
      </c>
      <c r="E15" s="22">
        <f t="shared" si="1"/>
        <v>2313652.85</v>
      </c>
      <c r="F15" s="21">
        <v>635858.65</v>
      </c>
      <c r="G15" s="3">
        <f t="shared" si="2"/>
        <v>942970</v>
      </c>
      <c r="H15" s="22">
        <v>-307111.34999999998</v>
      </c>
      <c r="I15" s="18"/>
      <c r="J15" s="3"/>
      <c r="K15" s="3"/>
      <c r="L15" s="3"/>
      <c r="M15" s="9"/>
      <c r="N15" s="18"/>
      <c r="O15" s="3"/>
      <c r="P15" s="3"/>
      <c r="Q15" s="3"/>
      <c r="R15" s="9"/>
    </row>
    <row r="16" spans="1:18" x14ac:dyDescent="0.25">
      <c r="A16" s="12" t="s">
        <v>17</v>
      </c>
      <c r="B16" s="24">
        <v>2011752</v>
      </c>
      <c r="C16" s="21">
        <f t="shared" si="0"/>
        <v>1843714.78</v>
      </c>
      <c r="D16" s="3">
        <v>168037.22</v>
      </c>
      <c r="E16" s="22">
        <f t="shared" si="1"/>
        <v>1843714.78</v>
      </c>
      <c r="F16" s="21">
        <v>709276.87</v>
      </c>
      <c r="G16" s="3">
        <f t="shared" si="2"/>
        <v>847688</v>
      </c>
      <c r="H16" s="22">
        <v>-138411.13</v>
      </c>
      <c r="I16" s="18"/>
      <c r="J16" s="3"/>
      <c r="K16" s="3"/>
      <c r="L16" s="3"/>
      <c r="M16" s="9"/>
      <c r="N16" s="18"/>
      <c r="O16" s="3"/>
      <c r="P16" s="3"/>
      <c r="Q16" s="3"/>
      <c r="R16" s="9"/>
    </row>
    <row r="17" spans="1:18" x14ac:dyDescent="0.25">
      <c r="A17" s="12" t="s">
        <v>18</v>
      </c>
      <c r="B17" s="24">
        <v>1910645</v>
      </c>
      <c r="C17" s="21">
        <f t="shared" si="0"/>
        <v>1725730.8</v>
      </c>
      <c r="D17" s="3">
        <v>184914.2</v>
      </c>
      <c r="E17" s="22">
        <f t="shared" si="1"/>
        <v>1725730.8</v>
      </c>
      <c r="F17" s="21">
        <v>1099244.07</v>
      </c>
      <c r="G17" s="3">
        <f t="shared" si="2"/>
        <v>1052129</v>
      </c>
      <c r="H17" s="22">
        <v>47115.07</v>
      </c>
      <c r="I17" s="18"/>
      <c r="J17" s="3"/>
      <c r="K17" s="3"/>
      <c r="L17" s="3"/>
      <c r="M17" s="9"/>
      <c r="N17" s="18"/>
      <c r="O17" s="3"/>
      <c r="P17" s="3"/>
      <c r="Q17" s="3"/>
      <c r="R17" s="9"/>
    </row>
    <row r="18" spans="1:18" x14ac:dyDescent="0.25">
      <c r="A18" s="12" t="s">
        <v>19</v>
      </c>
      <c r="B18" s="24">
        <v>3958578</v>
      </c>
      <c r="C18" s="21">
        <f t="shared" si="0"/>
        <v>3815688.31</v>
      </c>
      <c r="D18" s="3">
        <f>131454.68+11435.01</f>
        <v>142889.69</v>
      </c>
      <c r="E18" s="22">
        <f t="shared" si="1"/>
        <v>3815688.31</v>
      </c>
      <c r="F18" s="21">
        <v>856435.75</v>
      </c>
      <c r="G18" s="3">
        <f t="shared" si="2"/>
        <v>677152</v>
      </c>
      <c r="H18" s="22">
        <v>179283.75</v>
      </c>
      <c r="I18" s="18"/>
      <c r="J18" s="3"/>
      <c r="K18" s="3"/>
      <c r="L18" s="3"/>
      <c r="M18" s="9"/>
      <c r="N18" s="18"/>
      <c r="O18" s="3"/>
      <c r="P18" s="3"/>
      <c r="Q18" s="3"/>
      <c r="R18" s="9"/>
    </row>
    <row r="19" spans="1:18" x14ac:dyDescent="0.25">
      <c r="A19" s="12" t="s">
        <v>20</v>
      </c>
      <c r="B19" s="24">
        <v>1869883</v>
      </c>
      <c r="C19" s="21">
        <f>B19-D19</f>
        <v>1623647.65</v>
      </c>
      <c r="D19" s="3">
        <v>246235.35</v>
      </c>
      <c r="E19" s="22">
        <f t="shared" si="1"/>
        <v>1623647.65</v>
      </c>
      <c r="F19" s="21">
        <v>833501.1</v>
      </c>
      <c r="G19" s="3">
        <f>F19-H19</f>
        <v>407982</v>
      </c>
      <c r="H19" s="22">
        <v>425519.1</v>
      </c>
      <c r="I19" s="18">
        <v>1098711</v>
      </c>
      <c r="J19" s="3">
        <v>371561</v>
      </c>
      <c r="K19" s="3">
        <v>0</v>
      </c>
      <c r="L19" s="3">
        <v>0</v>
      </c>
      <c r="M19" s="9">
        <v>727150</v>
      </c>
      <c r="N19" s="18">
        <v>1009511</v>
      </c>
      <c r="O19" s="3">
        <v>311092</v>
      </c>
      <c r="P19" s="3">
        <v>0</v>
      </c>
      <c r="Q19" s="3">
        <v>0</v>
      </c>
      <c r="R19" s="9">
        <v>698419</v>
      </c>
    </row>
    <row r="20" spans="1:18" x14ac:dyDescent="0.25">
      <c r="A20" s="12" t="s">
        <v>21</v>
      </c>
      <c r="B20" s="24">
        <v>4631754</v>
      </c>
      <c r="C20" s="21">
        <f>B20-D20</f>
        <v>4146064.8</v>
      </c>
      <c r="D20" s="3">
        <v>485689.2</v>
      </c>
      <c r="E20" s="22">
        <f t="shared" si="1"/>
        <v>4146064.8</v>
      </c>
      <c r="F20" s="21">
        <v>1192237.2</v>
      </c>
      <c r="G20" s="3">
        <f>F20-H20</f>
        <v>173953.89999999991</v>
      </c>
      <c r="H20" s="22">
        <v>1018283.3</v>
      </c>
      <c r="I20" s="18">
        <v>3554833</v>
      </c>
      <c r="J20" s="3">
        <v>342074</v>
      </c>
      <c r="K20" s="3">
        <v>0</v>
      </c>
      <c r="L20" s="3">
        <v>1085221</v>
      </c>
      <c r="M20" s="9">
        <v>2127538</v>
      </c>
      <c r="N20" s="18">
        <v>3393265</v>
      </c>
      <c r="O20" s="3">
        <v>34500</v>
      </c>
      <c r="P20" s="3">
        <v>0</v>
      </c>
      <c r="Q20" s="3">
        <v>1257649</v>
      </c>
      <c r="R20" s="9">
        <v>2101116</v>
      </c>
    </row>
    <row r="21" spans="1:18" x14ac:dyDescent="0.25">
      <c r="A21" s="12" t="s">
        <v>22</v>
      </c>
      <c r="B21" s="24">
        <v>2570952</v>
      </c>
      <c r="C21" s="21">
        <f>B21-D21</f>
        <v>2708012.96</v>
      </c>
      <c r="D21" s="3">
        <v>-137060.96</v>
      </c>
      <c r="E21" s="22">
        <f t="shared" si="1"/>
        <v>2708012.96</v>
      </c>
      <c r="F21" s="21">
        <v>1135487.3400000001</v>
      </c>
      <c r="G21" s="3">
        <f>F21-H21</f>
        <v>217125.00000000012</v>
      </c>
      <c r="H21" s="22">
        <v>918362.34</v>
      </c>
      <c r="I21" s="18">
        <v>2148793</v>
      </c>
      <c r="J21" s="3">
        <v>0</v>
      </c>
      <c r="K21" s="3">
        <v>0</v>
      </c>
      <c r="L21" s="3">
        <v>776225</v>
      </c>
      <c r="M21" s="9">
        <v>1372568</v>
      </c>
      <c r="N21" s="18">
        <v>1948150</v>
      </c>
      <c r="O21" s="3">
        <v>0</v>
      </c>
      <c r="P21" s="3">
        <v>0</v>
      </c>
      <c r="Q21" s="3">
        <v>568556</v>
      </c>
      <c r="R21" s="9">
        <v>1379594</v>
      </c>
    </row>
    <row r="22" spans="1:18" x14ac:dyDescent="0.25">
      <c r="A22" s="12" t="s">
        <v>23</v>
      </c>
      <c r="B22" s="24">
        <v>7266312</v>
      </c>
      <c r="C22" s="21">
        <f>B22-D22</f>
        <v>7377619.8600000003</v>
      </c>
      <c r="D22" s="3">
        <v>-111307.86</v>
      </c>
      <c r="E22" s="22">
        <f t="shared" si="1"/>
        <v>7377619.8600000003</v>
      </c>
      <c r="F22" s="21">
        <v>2410952.48</v>
      </c>
      <c r="G22" s="3">
        <f>F22-H22</f>
        <v>1552830</v>
      </c>
      <c r="H22" s="22">
        <v>858122.48</v>
      </c>
      <c r="I22" s="18">
        <v>7842224</v>
      </c>
      <c r="J22" s="3">
        <v>0</v>
      </c>
      <c r="K22" s="3">
        <v>1000000</v>
      </c>
      <c r="L22" s="3">
        <v>5046756</v>
      </c>
      <c r="M22" s="9">
        <v>1795468</v>
      </c>
      <c r="N22" s="18">
        <v>6769868</v>
      </c>
      <c r="O22" s="3">
        <v>0</v>
      </c>
      <c r="P22" s="3">
        <v>43342</v>
      </c>
      <c r="Q22" s="3">
        <v>4809292</v>
      </c>
      <c r="R22" s="9">
        <v>1917234</v>
      </c>
    </row>
    <row r="23" spans="1:18" x14ac:dyDescent="0.25">
      <c r="A23" s="12" t="s">
        <v>24</v>
      </c>
      <c r="B23" s="24">
        <v>39509764.549999997</v>
      </c>
      <c r="C23" s="21">
        <f>B23-D23</f>
        <v>39176628.629999995</v>
      </c>
      <c r="D23" s="3">
        <v>333135.92</v>
      </c>
      <c r="E23" s="22">
        <f t="shared" si="1"/>
        <v>39176628.629999995</v>
      </c>
      <c r="F23" s="21">
        <v>6659177.9400000004</v>
      </c>
      <c r="G23" s="3">
        <f>F23-H23</f>
        <v>4340818.120000001</v>
      </c>
      <c r="H23" s="22">
        <v>2318359.8199999998</v>
      </c>
      <c r="I23" s="18">
        <v>38820507</v>
      </c>
      <c r="J23" s="3">
        <v>1578500</v>
      </c>
      <c r="K23" s="3">
        <v>21900000</v>
      </c>
      <c r="L23" s="3">
        <v>13414062</v>
      </c>
      <c r="M23" s="9">
        <v>1927945</v>
      </c>
      <c r="N23" s="18">
        <v>38307087.880000003</v>
      </c>
      <c r="O23" s="3">
        <v>522725</v>
      </c>
      <c r="P23" s="3">
        <v>21502476.98</v>
      </c>
      <c r="Q23" s="3">
        <v>14295573.9</v>
      </c>
      <c r="R23" s="9">
        <v>1986312</v>
      </c>
    </row>
    <row r="24" spans="1:18" x14ac:dyDescent="0.25">
      <c r="A24" s="12" t="s">
        <v>0</v>
      </c>
      <c r="B24" s="24">
        <v>67014228.399999999</v>
      </c>
      <c r="C24" s="21">
        <f t="shared" ref="C24:C30" si="3">B24-D24</f>
        <v>64047014.369999997</v>
      </c>
      <c r="D24" s="3">
        <v>2967214.03</v>
      </c>
      <c r="E24" s="22">
        <f t="shared" si="1"/>
        <v>64047014.369999997</v>
      </c>
      <c r="F24" s="21">
        <v>14726104.369999999</v>
      </c>
      <c r="G24" s="3">
        <f t="shared" ref="G24:G30" si="4">F24-H24</f>
        <v>8372506.2199999988</v>
      </c>
      <c r="H24" s="22">
        <v>6353598.1500000004</v>
      </c>
      <c r="I24" s="18">
        <v>63056293</v>
      </c>
      <c r="J24" s="3">
        <v>3737372</v>
      </c>
      <c r="K24" s="3">
        <v>37709080</v>
      </c>
      <c r="L24" s="3">
        <v>20073548</v>
      </c>
      <c r="M24" s="9">
        <v>1536293</v>
      </c>
      <c r="N24" s="18">
        <v>61947099.200000003</v>
      </c>
      <c r="O24" s="4">
        <v>2386709</v>
      </c>
      <c r="P24" s="4">
        <v>37490158.100000001</v>
      </c>
      <c r="Q24" s="3">
        <v>20697519.5</v>
      </c>
      <c r="R24" s="9">
        <v>1372712.6</v>
      </c>
    </row>
    <row r="25" spans="1:18" x14ac:dyDescent="0.25">
      <c r="A25" s="12" t="s">
        <v>1</v>
      </c>
      <c r="B25" s="24">
        <v>64683826.380000003</v>
      </c>
      <c r="C25" s="21">
        <f t="shared" si="3"/>
        <v>64616950.980000004</v>
      </c>
      <c r="D25" s="3">
        <v>66875.399999999994</v>
      </c>
      <c r="E25" s="22">
        <f t="shared" si="1"/>
        <v>64616950.980000004</v>
      </c>
      <c r="F25" s="21">
        <v>19401616.039999999</v>
      </c>
      <c r="G25" s="3">
        <f t="shared" si="4"/>
        <v>11903803.489999998</v>
      </c>
      <c r="H25" s="22">
        <v>7497812.5499999998</v>
      </c>
      <c r="I25" s="18">
        <v>61781328.43</v>
      </c>
      <c r="J25" s="5">
        <v>0</v>
      </c>
      <c r="K25" s="3">
        <v>41438199</v>
      </c>
      <c r="L25" s="3">
        <v>18649128.530000001</v>
      </c>
      <c r="M25" s="9">
        <v>1694000.9</v>
      </c>
      <c r="N25" s="18">
        <v>62329407.579999998</v>
      </c>
      <c r="O25" s="4">
        <v>3299712</v>
      </c>
      <c r="P25" s="4">
        <v>39606811.75</v>
      </c>
      <c r="Q25" s="3">
        <v>17706407.530000001</v>
      </c>
      <c r="R25" s="9">
        <v>1716476.3</v>
      </c>
    </row>
    <row r="26" spans="1:18" x14ac:dyDescent="0.25">
      <c r="A26" s="12" t="s">
        <v>2</v>
      </c>
      <c r="B26" s="24">
        <v>59256425.399999999</v>
      </c>
      <c r="C26" s="21">
        <f t="shared" si="3"/>
        <v>58112231.189999998</v>
      </c>
      <c r="D26" s="3">
        <v>1144194.21</v>
      </c>
      <c r="E26" s="47">
        <v>58642340.399999999</v>
      </c>
      <c r="F26" s="21">
        <v>24528937.390000001</v>
      </c>
      <c r="G26" s="3">
        <f t="shared" si="4"/>
        <v>16231829.630000001</v>
      </c>
      <c r="H26" s="22">
        <v>8297107.7599999998</v>
      </c>
      <c r="I26" s="18">
        <v>55512681.579999998</v>
      </c>
      <c r="J26" s="3">
        <v>4928675</v>
      </c>
      <c r="K26" s="3">
        <v>39535246</v>
      </c>
      <c r="L26" s="3">
        <v>10065127.58</v>
      </c>
      <c r="M26" s="9">
        <v>983633</v>
      </c>
      <c r="N26" s="18">
        <v>55961857.859999999</v>
      </c>
      <c r="O26" s="4">
        <v>5290961</v>
      </c>
      <c r="P26" s="4">
        <v>39180026</v>
      </c>
      <c r="Q26" s="3">
        <v>9564362.8599999994</v>
      </c>
      <c r="R26" s="9">
        <v>1926508</v>
      </c>
    </row>
    <row r="27" spans="1:18" x14ac:dyDescent="0.25">
      <c r="A27" s="12" t="s">
        <v>3</v>
      </c>
      <c r="B27" s="24">
        <v>92213407.579999998</v>
      </c>
      <c r="C27" s="21">
        <f t="shared" si="3"/>
        <v>90131517.920000002</v>
      </c>
      <c r="D27" s="3">
        <v>2081889.66</v>
      </c>
      <c r="E27" s="47">
        <v>90519384.579999998</v>
      </c>
      <c r="F27" s="21">
        <v>23774130.420000002</v>
      </c>
      <c r="G27" s="3">
        <f t="shared" si="4"/>
        <v>14498517.000000002</v>
      </c>
      <c r="H27" s="22">
        <v>9275613.4199999999</v>
      </c>
      <c r="I27" s="18">
        <v>82174908</v>
      </c>
      <c r="J27" s="3">
        <v>21875528</v>
      </c>
      <c r="K27" s="3">
        <v>41964571</v>
      </c>
      <c r="L27" s="3">
        <v>12017532</v>
      </c>
      <c r="M27" s="9">
        <v>6317277</v>
      </c>
      <c r="N27" s="19">
        <v>89409975.379999995</v>
      </c>
      <c r="O27" s="3">
        <v>30185205</v>
      </c>
      <c r="P27" s="3">
        <v>42468902</v>
      </c>
      <c r="Q27" s="3">
        <v>11885636.380000001</v>
      </c>
      <c r="R27" s="9">
        <v>4870232</v>
      </c>
    </row>
    <row r="28" spans="1:18" x14ac:dyDescent="0.25">
      <c r="A28" s="38" t="s">
        <v>4</v>
      </c>
      <c r="B28" s="3">
        <v>117685807.64</v>
      </c>
      <c r="C28" s="3">
        <f t="shared" si="3"/>
        <v>113648533.72</v>
      </c>
      <c r="D28" s="3">
        <v>4037273.92</v>
      </c>
      <c r="E28" s="48">
        <v>117614526.64</v>
      </c>
      <c r="F28" s="3">
        <v>34038036.509999998</v>
      </c>
      <c r="G28" s="3">
        <f t="shared" si="4"/>
        <v>20825896.169999998</v>
      </c>
      <c r="H28" s="28">
        <v>13212140.34</v>
      </c>
      <c r="I28" s="28">
        <v>119912141</v>
      </c>
      <c r="J28" s="3">
        <v>38979061</v>
      </c>
      <c r="K28" s="3">
        <v>54929079</v>
      </c>
      <c r="L28" s="3">
        <v>19077315</v>
      </c>
      <c r="M28" s="3">
        <v>6926686</v>
      </c>
      <c r="N28" s="29">
        <v>116468609.14</v>
      </c>
      <c r="O28" s="5">
        <v>31666122</v>
      </c>
      <c r="P28" s="30">
        <v>54857520</v>
      </c>
      <c r="Q28" s="5">
        <v>22228799.140000001</v>
      </c>
      <c r="R28" s="39">
        <v>7716168</v>
      </c>
    </row>
    <row r="29" spans="1:18" x14ac:dyDescent="0.25">
      <c r="A29" s="38" t="s">
        <v>40</v>
      </c>
      <c r="B29" s="3">
        <v>143438964.5</v>
      </c>
      <c r="C29" s="3">
        <f t="shared" si="3"/>
        <v>138281220.22</v>
      </c>
      <c r="D29" s="3">
        <v>5157744.28</v>
      </c>
      <c r="E29" s="48">
        <v>143438890.16</v>
      </c>
      <c r="F29" s="3">
        <v>33817542.670000002</v>
      </c>
      <c r="G29" s="3">
        <f t="shared" si="4"/>
        <v>14366907.050000001</v>
      </c>
      <c r="H29" s="28">
        <v>19450635.620000001</v>
      </c>
      <c r="I29" s="28">
        <v>142037257.40000001</v>
      </c>
      <c r="J29" s="3">
        <v>25929425</v>
      </c>
      <c r="K29" s="3">
        <v>72368457</v>
      </c>
      <c r="L29" s="3">
        <v>28642721.399999999</v>
      </c>
      <c r="M29" s="3">
        <v>15096654</v>
      </c>
      <c r="N29" s="29">
        <v>142208647.09</v>
      </c>
      <c r="O29" s="5">
        <v>26930412.949999999</v>
      </c>
      <c r="P29" s="30">
        <v>74673173</v>
      </c>
      <c r="Q29" s="5">
        <v>25327503.260000002</v>
      </c>
      <c r="R29" s="39">
        <v>15277557.880000001</v>
      </c>
    </row>
    <row r="30" spans="1:18" ht="15.75" thickBot="1" x14ac:dyDescent="0.3">
      <c r="A30" s="40" t="s">
        <v>41</v>
      </c>
      <c r="B30" s="41">
        <v>127915983.54000001</v>
      </c>
      <c r="C30" s="41">
        <f t="shared" si="3"/>
        <v>116979577.54000001</v>
      </c>
      <c r="D30" s="41">
        <v>10936406</v>
      </c>
      <c r="E30" s="49">
        <v>127592731.54000001</v>
      </c>
      <c r="F30" s="41">
        <v>51174114.560000002</v>
      </c>
      <c r="G30" s="3">
        <f t="shared" si="4"/>
        <v>20617737.340000004</v>
      </c>
      <c r="H30" s="42">
        <v>30556377.219999999</v>
      </c>
      <c r="I30" s="42">
        <v>111638536.95</v>
      </c>
      <c r="J30" s="41">
        <v>16334990.949999999</v>
      </c>
      <c r="K30" s="41">
        <v>60848145</v>
      </c>
      <c r="L30" s="41">
        <v>21254017</v>
      </c>
      <c r="M30" s="41">
        <v>13201384</v>
      </c>
      <c r="N30" s="43">
        <v>125952446.54000001</v>
      </c>
      <c r="O30" s="44">
        <v>27817783</v>
      </c>
      <c r="P30" s="45">
        <v>62217133.880000003</v>
      </c>
      <c r="Q30" s="44">
        <v>22732895.66</v>
      </c>
      <c r="R30" s="46">
        <v>13184634</v>
      </c>
    </row>
    <row r="31" spans="1:18" ht="15.75" thickBot="1" x14ac:dyDescent="0.3">
      <c r="A31" s="13" t="s">
        <v>36</v>
      </c>
      <c r="B31" s="8">
        <f>SUM(B4:B30)</f>
        <v>760289624.98999989</v>
      </c>
      <c r="C31" s="8">
        <f t="shared" ref="C31:E31" si="5">SUM(C4:C30)</f>
        <v>732902052.09000003</v>
      </c>
      <c r="D31" s="52">
        <f t="shared" si="5"/>
        <v>27387572.899999999</v>
      </c>
      <c r="E31" s="8">
        <f t="shared" si="5"/>
        <v>753556844.81999993</v>
      </c>
      <c r="F31" s="26"/>
      <c r="G31" s="27"/>
      <c r="H31" s="25"/>
      <c r="I31" s="20">
        <f t="shared" ref="I31:R31" si="6">SUM(I4:I30)</f>
        <v>689578214.36000001</v>
      </c>
      <c r="J31" s="10">
        <f t="shared" si="6"/>
        <v>114077186.95</v>
      </c>
      <c r="K31" s="10">
        <f t="shared" si="6"/>
        <v>371692777</v>
      </c>
      <c r="L31" s="10">
        <f t="shared" si="6"/>
        <v>150101653.50999999</v>
      </c>
      <c r="M31" s="11">
        <f t="shared" si="6"/>
        <v>53706596.899999999</v>
      </c>
      <c r="N31" s="20">
        <f t="shared" si="6"/>
        <v>705705924.66999996</v>
      </c>
      <c r="O31" s="10">
        <f t="shared" si="6"/>
        <v>128445221.95</v>
      </c>
      <c r="P31" s="10">
        <f t="shared" si="6"/>
        <v>372039543.70999998</v>
      </c>
      <c r="Q31" s="10">
        <f t="shared" si="6"/>
        <v>151074195.22999999</v>
      </c>
      <c r="R31" s="11">
        <f t="shared" si="6"/>
        <v>54146963.780000001</v>
      </c>
    </row>
    <row r="32" spans="1:18" ht="16.5" x14ac:dyDescent="0.25">
      <c r="B32" s="1"/>
      <c r="C32" s="2"/>
      <c r="D32" s="50"/>
    </row>
    <row r="33" spans="1:6" ht="16.5" x14ac:dyDescent="0.25">
      <c r="A33" s="1"/>
      <c r="B33" s="1"/>
      <c r="C33" s="2"/>
      <c r="D33" s="51"/>
    </row>
    <row r="34" spans="1:6" ht="16.5" x14ac:dyDescent="0.25">
      <c r="A34" s="1"/>
      <c r="B34" s="1"/>
      <c r="C34" s="2"/>
      <c r="E34" s="7"/>
      <c r="F34" s="1"/>
    </row>
    <row r="35" spans="1:6" ht="16.5" x14ac:dyDescent="0.25">
      <c r="A35" s="1"/>
      <c r="B35" s="1"/>
      <c r="C35" s="2"/>
      <c r="E35" s="7"/>
      <c r="F35" s="1"/>
    </row>
    <row r="36" spans="1:6" ht="16.5" x14ac:dyDescent="0.25">
      <c r="A36" s="1"/>
      <c r="B36" s="1"/>
      <c r="C36" s="1"/>
      <c r="E36" s="7"/>
      <c r="F36" s="1"/>
    </row>
    <row r="37" spans="1:6" ht="16.5" x14ac:dyDescent="0.25">
      <c r="A37" s="1"/>
      <c r="B37" s="1"/>
      <c r="C37" s="1"/>
      <c r="E37" s="7"/>
      <c r="F37" s="1"/>
    </row>
    <row r="38" spans="1:6" ht="16.5" x14ac:dyDescent="0.25">
      <c r="A38" s="1"/>
      <c r="B38" s="1"/>
      <c r="C38" s="1"/>
      <c r="E38" s="7"/>
      <c r="F38" s="1"/>
    </row>
  </sheetData>
  <mergeCells count="2">
    <mergeCell ref="A1:R1"/>
    <mergeCell ref="A2:R2"/>
  </mergeCells>
  <pageMargins left="0" right="0" top="1.5" bottom="0.75" header="0.3" footer="0.3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2025-09-09T12:30:51Z</dcterms:modified>
</cp:coreProperties>
</file>